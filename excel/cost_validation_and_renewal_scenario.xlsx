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jp20\Downloads\"/>
    </mc:Choice>
  </mc:AlternateContent>
  <xr:revisionPtr revIDLastSave="0" documentId="8_{ACAE47B2-71A5-49FA-BC1B-38AE6A479729}" xr6:coauthVersionLast="47" xr6:coauthVersionMax="47" xr10:uidLastSave="{00000000-0000-0000-0000-000000000000}"/>
  <bookViews>
    <workbookView xWindow="-98" yWindow="-98" windowWidth="21795" windowHeight="13695" activeTab="1" xr2:uid="{CE5B8CD3-79A7-4BAD-8989-206E321AB8B5}"/>
  </bookViews>
  <sheets>
    <sheet name="pivot_table" sheetId="1" r:id="rId1"/>
    <sheet name="scenario" sheetId="3" r:id="rId2"/>
  </sheets>
  <calcPr calcId="0"/>
</workbook>
</file>

<file path=xl/calcChain.xml><?xml version="1.0" encoding="utf-8"?>
<calcChain xmlns="http://schemas.openxmlformats.org/spreadsheetml/2006/main">
  <c r="H10" i="3" l="1"/>
  <c r="G10" i="3"/>
  <c r="H9" i="3"/>
  <c r="G9" i="3"/>
  <c r="H8" i="3"/>
  <c r="G8" i="3"/>
  <c r="H7" i="3"/>
  <c r="G7" i="3"/>
  <c r="C3" i="3"/>
  <c r="C4" i="3"/>
  <c r="C5" i="3"/>
  <c r="C6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" i="3"/>
  <c r="B3" i="3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" i="3"/>
</calcChain>
</file>

<file path=xl/sharedStrings.xml><?xml version="1.0" encoding="utf-8"?>
<sst xmlns="http://schemas.openxmlformats.org/spreadsheetml/2006/main" count="52" uniqueCount="32">
  <si>
    <t>Row Labels</t>
  </si>
  <si>
    <t>Sum of ClaimAmount</t>
  </si>
  <si>
    <t>Count of ClaimID</t>
  </si>
  <si>
    <t>Avg cost per employee</t>
  </si>
  <si>
    <t>Employer_01</t>
  </si>
  <si>
    <t>Employer_02</t>
  </si>
  <si>
    <t>Employer_03</t>
  </si>
  <si>
    <t>Employer_04</t>
  </si>
  <si>
    <t>Employer_05</t>
  </si>
  <si>
    <t>Employer_06</t>
  </si>
  <si>
    <t>Employer_07</t>
  </si>
  <si>
    <t>Employer_08</t>
  </si>
  <si>
    <t>Employer_09</t>
  </si>
  <si>
    <t>Employer_10</t>
  </si>
  <si>
    <t>Employer_11</t>
  </si>
  <si>
    <t>Employer_12</t>
  </si>
  <si>
    <t>Employer_13</t>
  </si>
  <si>
    <t>Employer_14</t>
  </si>
  <si>
    <t>Employer_15</t>
  </si>
  <si>
    <t>Employer_16</t>
  </si>
  <si>
    <t>Employer_17</t>
  </si>
  <si>
    <t>Employer_18</t>
  </si>
  <si>
    <t>Grand Total</t>
  </si>
  <si>
    <t>EmployerGroup</t>
  </si>
  <si>
    <t>Cost per Employee</t>
  </si>
  <si>
    <t>Rank</t>
  </si>
  <si>
    <t>Current cost/employee</t>
  </si>
  <si>
    <t>Scenario: +5% growth</t>
  </si>
  <si>
    <t>Scenario: +10% growth</t>
  </si>
  <si>
    <t>Scenario: +15% growth</t>
  </si>
  <si>
    <t>At a flat 10% renewal increase, Employer_15's per-employee cost would exceed $6,100, widening the existing gap</t>
  </si>
  <si>
    <t>with Employer_07 rather than closing it, unless the underlying risk difference is addressed first.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</si>
</sst>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 Unicode MS"/>
    </font>
    <font>
      <sz val="8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F38B50-B451-43A0-8DE4-F669A8828816}">
  <dimension ref="A1:D20"/>
  <sheetViews>
    <sheetView workbookViewId="0"/>
  </sheetViews>
  <sheetFormatPr defaultRowHeight="14.25"/>
  <cols>
    <col min="1" max="1" width="15.46484375" customWidth="1"/>
    <col min="2" max="2" width="13.59765625" customWidth="1"/>
    <col min="3" max="3" width="14.73046875" customWidth="1"/>
    <col min="4" max="4" width="16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>
        <v>430942.93</v>
      </c>
      <c r="C2">
        <v>82</v>
      </c>
      <c r="D2">
        <v>5255.4</v>
      </c>
    </row>
    <row r="3" spans="1:4">
      <c r="A3" t="s">
        <v>5</v>
      </c>
      <c r="B3">
        <v>359063.79</v>
      </c>
      <c r="C3">
        <v>68</v>
      </c>
      <c r="D3">
        <v>5280.35</v>
      </c>
    </row>
    <row r="4" spans="1:4">
      <c r="A4" t="s">
        <v>6</v>
      </c>
      <c r="B4">
        <v>394116.09</v>
      </c>
      <c r="C4">
        <v>74</v>
      </c>
      <c r="D4">
        <v>5325.89</v>
      </c>
    </row>
    <row r="5" spans="1:4">
      <c r="A5" t="s">
        <v>7</v>
      </c>
      <c r="B5">
        <v>326800.46999999997</v>
      </c>
      <c r="C5">
        <v>64</v>
      </c>
      <c r="D5">
        <v>5106.26</v>
      </c>
    </row>
    <row r="6" spans="1:4">
      <c r="A6" t="s">
        <v>8</v>
      </c>
      <c r="B6">
        <v>372044.09</v>
      </c>
      <c r="C6">
        <v>80</v>
      </c>
      <c r="D6">
        <v>4650.55</v>
      </c>
    </row>
    <row r="7" spans="1:4">
      <c r="A7" t="s">
        <v>9</v>
      </c>
      <c r="B7">
        <v>293182.68</v>
      </c>
      <c r="C7">
        <v>58</v>
      </c>
      <c r="D7">
        <v>5054.87</v>
      </c>
    </row>
    <row r="8" spans="1:4">
      <c r="A8" t="s">
        <v>10</v>
      </c>
      <c r="B8">
        <v>270025.21999999997</v>
      </c>
      <c r="C8">
        <v>65</v>
      </c>
      <c r="D8">
        <v>4154.2299999999996</v>
      </c>
    </row>
    <row r="9" spans="1:4">
      <c r="A9" t="s">
        <v>11</v>
      </c>
      <c r="B9">
        <v>374659.08</v>
      </c>
      <c r="C9">
        <v>74</v>
      </c>
      <c r="D9">
        <v>5062.96</v>
      </c>
    </row>
    <row r="10" spans="1:4">
      <c r="A10" t="s">
        <v>12</v>
      </c>
      <c r="B10">
        <v>275978.36</v>
      </c>
      <c r="C10">
        <v>56</v>
      </c>
      <c r="D10">
        <v>4928.1899999999996</v>
      </c>
    </row>
    <row r="11" spans="1:4">
      <c r="A11" t="s">
        <v>13</v>
      </c>
      <c r="B11">
        <v>267204.18</v>
      </c>
      <c r="C11">
        <v>58</v>
      </c>
      <c r="D11">
        <v>4606.97</v>
      </c>
    </row>
    <row r="12" spans="1:4">
      <c r="A12" t="s">
        <v>14</v>
      </c>
      <c r="B12">
        <v>263049.53000000003</v>
      </c>
      <c r="C12">
        <v>56</v>
      </c>
      <c r="D12">
        <v>4697.3100000000004</v>
      </c>
    </row>
    <row r="13" spans="1:4">
      <c r="A13" t="s">
        <v>15</v>
      </c>
      <c r="B13">
        <v>375732.32</v>
      </c>
      <c r="C13">
        <v>69</v>
      </c>
      <c r="D13">
        <v>5445.4</v>
      </c>
    </row>
    <row r="14" spans="1:4">
      <c r="A14" t="s">
        <v>16</v>
      </c>
      <c r="B14">
        <v>338786.36</v>
      </c>
      <c r="C14">
        <v>65</v>
      </c>
      <c r="D14">
        <v>5212.1000000000004</v>
      </c>
    </row>
    <row r="15" spans="1:4">
      <c r="A15" t="s">
        <v>17</v>
      </c>
      <c r="B15">
        <v>292578.64</v>
      </c>
      <c r="C15">
        <v>57</v>
      </c>
      <c r="D15">
        <v>5132.96</v>
      </c>
    </row>
    <row r="16" spans="1:4">
      <c r="A16" t="s">
        <v>18</v>
      </c>
      <c r="B16">
        <v>394204.14</v>
      </c>
      <c r="C16">
        <v>71</v>
      </c>
      <c r="D16">
        <v>5552.17</v>
      </c>
    </row>
    <row r="17" spans="1:4">
      <c r="A17" t="s">
        <v>19</v>
      </c>
      <c r="B17">
        <v>282446.27</v>
      </c>
      <c r="C17">
        <v>55</v>
      </c>
      <c r="D17">
        <v>5135.3900000000003</v>
      </c>
    </row>
    <row r="18" spans="1:4">
      <c r="A18" t="s">
        <v>20</v>
      </c>
      <c r="B18">
        <v>373772.54</v>
      </c>
      <c r="C18">
        <v>81</v>
      </c>
      <c r="D18">
        <v>4614.4799999999996</v>
      </c>
    </row>
    <row r="19" spans="1:4">
      <c r="A19" t="s">
        <v>21</v>
      </c>
      <c r="B19">
        <v>266009.05</v>
      </c>
      <c r="C19">
        <v>55</v>
      </c>
      <c r="D19">
        <v>4836.53</v>
      </c>
    </row>
    <row r="20" spans="1:4">
      <c r="A20" t="s">
        <v>22</v>
      </c>
      <c r="B20">
        <v>5950595.7400000002</v>
      </c>
      <c r="C20">
        <v>1188</v>
      </c>
      <c r="D20">
        <v>5008.92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D46DF1-5B55-449B-8A6E-0F3B83A284D4}">
  <dimension ref="A1:H19"/>
  <sheetViews>
    <sheetView tabSelected="1" workbookViewId="0">
      <selection activeCell="J18" sqref="J18"/>
    </sheetView>
  </sheetViews>
  <sheetFormatPr defaultRowHeight="14.25"/>
  <cols>
    <col min="1" max="1" width="14.1328125" customWidth="1"/>
    <col min="2" max="2" width="17.59765625" customWidth="1"/>
    <col min="3" max="3" width="10.3984375" customWidth="1"/>
    <col min="6" max="6" width="19.796875" customWidth="1"/>
    <col min="7" max="7" width="15.1328125" customWidth="1"/>
    <col min="8" max="8" width="14.73046875" customWidth="1"/>
  </cols>
  <sheetData>
    <row r="1" spans="1:8">
      <c r="A1" s="1" t="s">
        <v>23</v>
      </c>
      <c r="B1" t="s">
        <v>24</v>
      </c>
      <c r="C1" t="s">
        <v>25</v>
      </c>
    </row>
    <row r="2" spans="1:8">
      <c r="A2" t="s">
        <v>4</v>
      </c>
      <c r="B2">
        <f>_xlfn.XLOOKUP(A2, pivot_table!A:A, pivot_table!D:D)</f>
        <v>5255.4</v>
      </c>
      <c r="C2">
        <f>RANK(B2, $B$2:$B$19, 0)</f>
        <v>5</v>
      </c>
    </row>
    <row r="3" spans="1:8">
      <c r="A3" t="s">
        <v>5</v>
      </c>
      <c r="B3">
        <f>_xlfn.XLOOKUP(A3, pivot_table!A:A, pivot_table!D:D)</f>
        <v>5280.35</v>
      </c>
      <c r="C3">
        <f t="shared" ref="C3:C19" si="0">RANK(B3, $B$2:$B$19, 0)</f>
        <v>4</v>
      </c>
    </row>
    <row r="4" spans="1:8">
      <c r="A4" t="s">
        <v>6</v>
      </c>
      <c r="B4">
        <f>_xlfn.XLOOKUP(A4, pivot_table!A:A, pivot_table!D:D)</f>
        <v>5325.89</v>
      </c>
      <c r="C4">
        <f t="shared" si="0"/>
        <v>3</v>
      </c>
    </row>
    <row r="5" spans="1:8">
      <c r="A5" t="s">
        <v>7</v>
      </c>
      <c r="B5">
        <f>_xlfn.XLOOKUP(A5, pivot_table!A:A, pivot_table!D:D)</f>
        <v>5106.26</v>
      </c>
      <c r="C5">
        <f t="shared" si="0"/>
        <v>9</v>
      </c>
    </row>
    <row r="6" spans="1:8">
      <c r="A6" t="s">
        <v>8</v>
      </c>
      <c r="B6">
        <f>_xlfn.XLOOKUP(A6, pivot_table!A:A, pivot_table!D:D)</f>
        <v>4650.55</v>
      </c>
      <c r="C6">
        <f t="shared" si="0"/>
        <v>15</v>
      </c>
      <c r="G6" t="s">
        <v>18</v>
      </c>
      <c r="H6" t="s">
        <v>10</v>
      </c>
    </row>
    <row r="7" spans="1:8">
      <c r="A7" t="s">
        <v>9</v>
      </c>
      <c r="B7">
        <f>_xlfn.XLOOKUP(A7, pivot_table!A:A, pivot_table!D:D)</f>
        <v>5054.87</v>
      </c>
      <c r="C7">
        <f t="shared" si="0"/>
        <v>11</v>
      </c>
      <c r="F7" t="s">
        <v>26</v>
      </c>
      <c r="G7">
        <f>B16</f>
        <v>5552.17</v>
      </c>
      <c r="H7">
        <f>B8</f>
        <v>4154.2299999999996</v>
      </c>
    </row>
    <row r="8" spans="1:8">
      <c r="A8" t="s">
        <v>10</v>
      </c>
      <c r="B8">
        <f>_xlfn.XLOOKUP(A8, pivot_table!A:A, pivot_table!D:D)</f>
        <v>4154.2299999999996</v>
      </c>
      <c r="C8">
        <f t="shared" si="0"/>
        <v>18</v>
      </c>
      <c r="F8" t="s">
        <v>27</v>
      </c>
      <c r="G8">
        <f>G7 * (1 + 0.05)</f>
        <v>5829.7785000000003</v>
      </c>
      <c r="H8">
        <f>H7 * (1 + 0.05)</f>
        <v>4361.9414999999999</v>
      </c>
    </row>
    <row r="9" spans="1:8">
      <c r="A9" t="s">
        <v>11</v>
      </c>
      <c r="B9">
        <f>_xlfn.XLOOKUP(A9, pivot_table!A:A, pivot_table!D:D)</f>
        <v>5062.96</v>
      </c>
      <c r="C9">
        <f t="shared" si="0"/>
        <v>10</v>
      </c>
      <c r="F9" t="s">
        <v>28</v>
      </c>
      <c r="G9">
        <f>G7 * (1 + 0.1)</f>
        <v>6107.3870000000006</v>
      </c>
      <c r="H9">
        <f>H7 * (1 + 0.1)</f>
        <v>4569.6530000000002</v>
      </c>
    </row>
    <row r="10" spans="1:8">
      <c r="A10" t="s">
        <v>12</v>
      </c>
      <c r="B10">
        <f>_xlfn.XLOOKUP(A10, pivot_table!A:A, pivot_table!D:D)</f>
        <v>4928.1899999999996</v>
      </c>
      <c r="C10">
        <f t="shared" si="0"/>
        <v>12</v>
      </c>
      <c r="F10" t="s">
        <v>29</v>
      </c>
      <c r="G10">
        <f>G7 * (1 + 0.15)</f>
        <v>6384.9955</v>
      </c>
      <c r="H10">
        <f>H7 * (1 + 0.15)</f>
        <v>4777.3644999999988</v>
      </c>
    </row>
    <row r="11" spans="1:8">
      <c r="A11" t="s">
        <v>13</v>
      </c>
      <c r="B11">
        <f>_xlfn.XLOOKUP(A11, pivot_table!A:A, pivot_table!D:D)</f>
        <v>4606.97</v>
      </c>
      <c r="C11">
        <f t="shared" si="0"/>
        <v>17</v>
      </c>
    </row>
    <row r="12" spans="1:8">
      <c r="A12" t="s">
        <v>14</v>
      </c>
      <c r="B12">
        <f>_xlfn.XLOOKUP(A12, pivot_table!A:A, pivot_table!D:D)</f>
        <v>4697.3100000000004</v>
      </c>
      <c r="C12">
        <f t="shared" si="0"/>
        <v>14</v>
      </c>
      <c r="F12" t="s">
        <v>30</v>
      </c>
    </row>
    <row r="13" spans="1:8">
      <c r="A13" t="s">
        <v>15</v>
      </c>
      <c r="B13">
        <f>_xlfn.XLOOKUP(A13, pivot_table!A:A, pivot_table!D:D)</f>
        <v>5445.4</v>
      </c>
      <c r="C13">
        <f t="shared" si="0"/>
        <v>2</v>
      </c>
      <c r="F13" t="s">
        <v>31</v>
      </c>
    </row>
    <row r="14" spans="1:8">
      <c r="A14" t="s">
        <v>16</v>
      </c>
      <c r="B14">
        <f>_xlfn.XLOOKUP(A14, pivot_table!A:A, pivot_table!D:D)</f>
        <v>5212.1000000000004</v>
      </c>
      <c r="C14">
        <f t="shared" si="0"/>
        <v>6</v>
      </c>
    </row>
    <row r="15" spans="1:8">
      <c r="A15" t="s">
        <v>17</v>
      </c>
      <c r="B15">
        <f>_xlfn.XLOOKUP(A15, pivot_table!A:A, pivot_table!D:D)</f>
        <v>5132.96</v>
      </c>
      <c r="C15">
        <f t="shared" si="0"/>
        <v>8</v>
      </c>
    </row>
    <row r="16" spans="1:8">
      <c r="A16" t="s">
        <v>18</v>
      </c>
      <c r="B16">
        <f>_xlfn.XLOOKUP(A16, pivot_table!A:A, pivot_table!D:D)</f>
        <v>5552.17</v>
      </c>
      <c r="C16">
        <f t="shared" si="0"/>
        <v>1</v>
      </c>
    </row>
    <row r="17" spans="1:3">
      <c r="A17" t="s">
        <v>19</v>
      </c>
      <c r="B17">
        <f>_xlfn.XLOOKUP(A17, pivot_table!A:A, pivot_table!D:D)</f>
        <v>5135.3900000000003</v>
      </c>
      <c r="C17">
        <f t="shared" si="0"/>
        <v>7</v>
      </c>
    </row>
    <row r="18" spans="1:3">
      <c r="A18" t="s">
        <v>20</v>
      </c>
      <c r="B18">
        <f>_xlfn.XLOOKUP(A18, pivot_table!A:A, pivot_table!D:D)</f>
        <v>4614.4799999999996</v>
      </c>
      <c r="C18">
        <f t="shared" si="0"/>
        <v>16</v>
      </c>
    </row>
    <row r="19" spans="1:3">
      <c r="A19" t="s">
        <v>21</v>
      </c>
      <c r="B19">
        <f>_xlfn.XLOOKUP(A19, pivot_table!A:A, pivot_table!D:D)</f>
        <v>4836.53</v>
      </c>
      <c r="C19">
        <f t="shared" si="0"/>
        <v>13</v>
      </c>
    </row>
  </sheetData>
  <phoneticPr fontId="19" type="noConversion"/>
  <conditionalFormatting sqref="B1:B1048576">
    <cfRule type="colorScale" priority="1">
      <colorScale>
        <cfvo type="min"/>
        <cfvo type="percentile" val="50"/>
        <cfvo type="max"/>
        <color rgb="FF63BE7B"/>
        <color rgb="FFFCFCFF"/>
        <color rgb="FFF8696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pivot_table</vt:lpstr>
      <vt:lpstr>scenario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Anand J P</dc:creator>
  <cp:lastModifiedBy>Jayakumar Pillai, Anand (Contractor)</cp:lastModifiedBy>
  <dcterms:created xsi:type="dcterms:W3CDTF">2026-07-29T23:03:16Z</dcterms:created>
  <dcterms:modified xsi:type="dcterms:W3CDTF">2026-07-29T23:03:17Z</dcterms:modified>
</cp:coreProperties>
</file>